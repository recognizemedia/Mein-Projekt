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Lead-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<sst xmlns="http://schemas.openxmlformats.org/spreadsheetml/2006/main" count="173" uniqueCount="131">
  <si>
    <t xml:space="preserve">Lead-Scoring-System – Recognize You</t>
  </si>
  <si>
    <t xml:space="preserve">Vorfilterung der Kaltakquise-Recherche, bevor ein Unternehmen auf die Anrufliste kommt. Punkte im Tabellenblatt "Lead-Tracker" eintragen, der Rest berechnet sich automatisch.</t>
  </si>
  <si>
    <t xml:space="preserve">Kriterien und Punkte</t>
  </si>
  <si>
    <t xml:space="preserve">Kriterium</t>
  </si>
  <si>
    <t xml:space="preserve">Punkte</t>
  </si>
  <si>
    <t xml:space="preserve">Woran erkennbar</t>
  </si>
  <si>
    <t xml:space="preserve">Website-Schwäche</t>
  </si>
  <si>
    <t xml:space="preserve">0 bis 3</t>
  </si>
  <si>
    <t xml:space="preserve">0 = modern und mobiloptimiert. 1 = leichte Schwächen. 2 = deutliche Schwächen, veraltetes Design, keine klare Botschaft. 3 = kritisch, keine mobile Version, kaputte Links, seit Jahren nicht aktualisiert, oder gar keine echte Website vorhanden.</t>
  </si>
  <si>
    <t xml:space="preserve">Unternehmensgröße und Zahlungsfähigkeit</t>
  </si>
  <si>
    <t xml:space="preserve">0 = Einzelunternehmer ohne Angestellte. 1 = kleines Team, 2 bis 9 Mitarbeiter. 2 = etablierter Mittelstand, 10 bis 49 Mitarbeiter. 3 = größerer Mittelstand, 50 oder mehr Mitarbeiter, oder sichtbare Investitionskraft wie mehrere Standorte, Firmenwagenflotte, aktive Stellenanzeigen.</t>
  </si>
  <si>
    <t xml:space="preserve">Entscheider erreichbar</t>
  </si>
  <si>
    <t xml:space="preserve">0 bis 2</t>
  </si>
  <si>
    <t xml:space="preserve">0 = nur allgemeines Kontaktformular. 1 = allgemeine Telefonnummer oder E-Mail. 2 = Name und Direktkontakt, Telefon oder LinkedIn, des Geschäftsführers oder Inhabers auffindbar.</t>
  </si>
  <si>
    <t xml:space="preserve">Sichtbares Problembewusstsein</t>
  </si>
  <si>
    <t xml:space="preserve">0 = wirkt zufrieden mit dem Status quo. 1 = leichte Signale, zum Beispiel Bewertungen erwähnen schlechte Auffindbarkeit, oder Wettbewerber ist online sichtbar präsenter. 2 = klares Signal, erkennbare eigene, missglückte Versuche an der Website.</t>
  </si>
  <si>
    <t xml:space="preserve">Gesamtscore: 0 bis 10 Punkte, wird im Lead-Tracker automatisch berechnet.</t>
  </si>
  <si>
    <t xml:space="preserve">Prioritätsstufen</t>
  </si>
  <si>
    <t xml:space="preserve">Stufe</t>
  </si>
  <si>
    <t xml:space="preserve">Bedeutung</t>
  </si>
  <si>
    <t xml:space="preserve">A-Lead</t>
  </si>
  <si>
    <t xml:space="preserve">8 bis 10</t>
  </si>
  <si>
    <t xml:space="preserve">sofort anrufen</t>
  </si>
  <si>
    <t xml:space="preserve">B-Lead</t>
  </si>
  <si>
    <t xml:space="preserve">5 bis 7</t>
  </si>
  <si>
    <t xml:space="preserve">danach anrufen</t>
  </si>
  <si>
    <t xml:space="preserve">C-Lead</t>
  </si>
  <si>
    <t xml:space="preserve">0 bis 4</t>
  </si>
  <si>
    <t xml:space="preserve">nur bei freier Kapazität, sonst aussortieren</t>
  </si>
  <si>
    <t xml:space="preserve">Recherchequellen für die Punktevergabe</t>
  </si>
  <si>
    <t xml:space="preserve">- Google Maps und Google-Bewertungen</t>
  </si>
  <si>
    <t xml:space="preserve">- LinkedIn-Unternehmensseite für die Mitarbeiterzahl</t>
  </si>
  <si>
    <t xml:space="preserve">- Impressum für Gründungsjahr und Rechtsform</t>
  </si>
  <si>
    <t xml:space="preserve">- Stellenanzeigen bei Indeed oder StepStone als Wachstumssignal</t>
  </si>
  <si>
    <t xml:space="preserve">- eigene Sichtprüfung der Website: Design, Mobilansicht, Ladezeit, Aktualität</t>
  </si>
  <si>
    <t xml:space="preserve">Nur die Zellen mit blauer Schrift im Lead-Tracker ausfüllen. Gesamtscore und Priorität berechnen sich automatisch.</t>
  </si>
  <si>
    <t xml:space="preserve">Firma</t>
  </si>
  <si>
    <t xml:space="preserve">Branche</t>
  </si>
  <si>
    <t xml:space="preserve">Website-URL</t>
  </si>
  <si>
    <t xml:space="preserve">Ansprechpartner</t>
  </si>
  <si>
    <t xml:space="preserve">Kontakt (Telefon/LinkedIn)</t>
  </si>
  <si>
    <t xml:space="preserve">Website-Schwäche (0-3)</t>
  </si>
  <si>
    <t xml:space="preserve">Unternehmensgröße (0-3)</t>
  </si>
  <si>
    <t xml:space="preserve">Entscheider erreichbar (0-2)</t>
  </si>
  <si>
    <t xml:space="preserve">Problembewusstsein (0-2)</t>
  </si>
  <si>
    <t xml:space="preserve">Gesamtscore</t>
  </si>
  <si>
    <t xml:space="preserve">Priorität</t>
  </si>
  <si>
    <t xml:space="preserve">Status</t>
  </si>
  <si>
    <t xml:space="preserve">Nächster Schritt / Termin</t>
  </si>
  <si>
    <t xml:space="preserve">Notizen</t>
  </si>
  <si>
    <t xml:space="preserve">Musterbau GmbH</t>
  </si>
  <si>
    <t xml:space="preserve">Handwerk</t>
  </si>
  <si>
    <t xml:space="preserve">www.musterbau-beispiel.de</t>
  </si>
  <si>
    <t xml:space="preserve">Herr Beispiel</t>
  </si>
  <si>
    <t xml:space="preserve">0176 00000000</t>
  </si>
  <si>
    <t xml:space="preserve">Nicht kontaktiert</t>
  </si>
  <si>
    <t xml:space="preserve">Beispielzeile, kann überschrieben werden.</t>
  </si>
  <si>
    <t xml:space="preserve">Gsänger Bauunternehmung GmbH</t>
  </si>
  <si>
    <t xml:space="preserve">Bauunternehmen</t>
  </si>
  <si>
    <t xml:space="preserve">keine Website gefunden</t>
  </si>
  <si>
    <t xml:space="preserve">09172 6951</t>
  </si>
  <si>
    <t xml:space="preserve">Adresse: An der Papiermühle 43, 91166 Georgensgmünd. Keine Website in der Suche gefunden, moeglicher Hinweis auf Website-Schwaeche 3, bitte vor Anruf pruefen. Quelle: Websuche.</t>
  </si>
  <si>
    <t xml:space="preserve">Gollitscher Bau GmbH</t>
  </si>
  <si>
    <t xml:space="preserve">09172 679347</t>
  </si>
  <si>
    <t xml:space="preserve">Adresse: Lorenzberg 15, 91166 Georgensgmünd. Keine Website gefunden, bitte pruefen. Quelle: Websuche.</t>
  </si>
  <si>
    <t xml:space="preserve">R&amp;M Versorgungstechnik GmbH</t>
  </si>
  <si>
    <t xml:space="preserve">Heizung, Sanitaer, Klima, Elektro, Solar</t>
  </si>
  <si>
    <t xml:space="preserve">rm-versorgungstechnik.de</t>
  </si>
  <si>
    <t xml:space="preserve">Adresse: Breitenloher Weg 15, 91166 Georgensgmünd. Website vorhanden, Qualitaet manuell pruefen. Quelle: Websuche.</t>
  </si>
  <si>
    <t xml:space="preserve">Wenzel Heizungs- und Sanitaertechnik GmbH</t>
  </si>
  <si>
    <t xml:space="preserve">Heizung, Sanitaer</t>
  </si>
  <si>
    <t xml:space="preserve">nur Facebook-Seite gefunden (facebook.com/Wenzel91166)</t>
  </si>
  <si>
    <t xml:space="preserve">Adresse: Georgensgmünd (91166). Keine eigene Website gefunden, nur Facebook-Praesenz, starkes Signal fuer schwache Website. Quelle: Websuche.</t>
  </si>
  <si>
    <t xml:space="preserve">Fritz Haarlaender Sanitaertechnik e.K.</t>
  </si>
  <si>
    <t xml:space="preserve">Sanitaertechnik</t>
  </si>
  <si>
    <t xml:space="preserve">haarlaender.de</t>
  </si>
  <si>
    <t xml:space="preserve">09172 969</t>
  </si>
  <si>
    <t xml:space="preserve">Adresse: Petersgmuender Strasse 11, 91166 Georgensgmünd. Website vorhanden, Qualitaet manuell pruefen. Quelle: Websuche.</t>
  </si>
  <si>
    <t xml:space="preserve">Mory GmbH (Mory Haustechnik)</t>
  </si>
  <si>
    <t xml:space="preserve">Heizung, Bad, Sanitaer, Solar/PV, Klima, Elektro</t>
  </si>
  <si>
    <t xml:space="preserve">mory-haustechnik.de</t>
  </si>
  <si>
    <t xml:space="preserve">Standort Georgensgmünd, genaue Adresse online pruefen. Website vorhanden, Qualitaet manuell pruefen. Quelle: Websuche.</t>
  </si>
  <si>
    <t xml:space="preserve">Kraus &amp; Co. GmbH (Kraus Sanitaer und Heizung)</t>
  </si>
  <si>
    <t xml:space="preserve">Sanitaer, Heizung</t>
  </si>
  <si>
    <t xml:space="preserve">Adresse: Breitenloher Weg 7, 91166 Georgensgmünd. Keine Website gefunden, bitte pruefen. Quelle: Websuche.</t>
  </si>
  <si>
    <t xml:space="preserve">Autoservice Georgensgmünd</t>
  </si>
  <si>
    <t xml:space="preserve">KFZ-Werkstatt</t>
  </si>
  <si>
    <t xml:space="preserve">autoservice-georgensgmuend.de</t>
  </si>
  <si>
    <t xml:space="preserve">Stefan Buckl</t>
  </si>
  <si>
    <t xml:space="preserve">Adresse: Pleinfelder Str. 72, 91166 Georgensgmünd. Inhaber namentlich bekannt, Website vorhanden, Qualitaet manuell pruefen. Quelle: Websuche.</t>
  </si>
  <si>
    <t xml:space="preserve">Frank Auto</t>
  </si>
  <si>
    <t xml:space="preserve">KFZ-Werkstatt (Opel-Spezialist)</t>
  </si>
  <si>
    <t xml:space="preserve">Adresse: Bahnhofstr. 15, 91166 Georgensgmünd. Keine Website gefunden, bitte pruefen. Quelle: Websuche.</t>
  </si>
  <si>
    <t xml:space="preserve">Joni's Werkstatt</t>
  </si>
  <si>
    <t xml:space="preserve">Adresse: Mauk 14, 91166 Georgensgmünd. Keine Website gefunden, bitte pruefen. Quelle: Websuche.</t>
  </si>
  <si>
    <t xml:space="preserve">Steuerkanzlei Thorsten Alt</t>
  </si>
  <si>
    <t xml:space="preserve">Steuerberatung</t>
  </si>
  <si>
    <t xml:space="preserve">steuerkanzlei-alt.de</t>
  </si>
  <si>
    <t xml:space="preserve">Thorsten Alt</t>
  </si>
  <si>
    <t xml:space="preserve">09172 4850730</t>
  </si>
  <si>
    <t xml:space="preserve">Adresse: Pleinfelder Strasse 34, 91166 Georgensgmünd. Website vorhanden, Qualitaet manuell pruefen. Quelle: Websuche.</t>
  </si>
  <si>
    <t xml:space="preserve">Schreinerei Wurzer</t>
  </si>
  <si>
    <t xml:space="preserve">Schreinerei, Tischlerei</t>
  </si>
  <si>
    <t xml:space="preserve">schreinerei-wurzer.de</t>
  </si>
  <si>
    <t xml:space="preserve">09172 67953</t>
  </si>
  <si>
    <t xml:space="preserve">Website vorhanden, Qualitaet manuell pruefen. Quelle: Websuche.</t>
  </si>
  <si>
    <t xml:space="preserve">Schreinerei Gerstberger</t>
  </si>
  <si>
    <t xml:space="preserve">0157 71871633</t>
  </si>
  <si>
    <t xml:space="preserve">Adresse: Technikstrasse 3, 91166 Georgensgmünd. Keine Website gefunden, bitte pruefen. Quelle: Websuche.</t>
  </si>
  <si>
    <t xml:space="preserve">Heinrich Schwarz Schreinerei</t>
  </si>
  <si>
    <t xml:space="preserve">Adresse: Konrad-v.-Megenberg-Str. 16, 91166 Georgensgmünd. Keine Website gefunden, bitte pruefen. Quelle: Websuche.</t>
  </si>
  <si>
    <t xml:space="preserve">Biehringer</t>
  </si>
  <si>
    <t xml:space="preserve">Elektromaschinen und Schaerfdienst</t>
  </si>
  <si>
    <t xml:space="preserve">biehringer.de</t>
  </si>
  <si>
    <t xml:space="preserve">Friseurstudio Kummerer</t>
  </si>
  <si>
    <t xml:space="preserve">Friseur</t>
  </si>
  <si>
    <t xml:space="preserve">friseur-kummerer.de</t>
  </si>
  <si>
    <t xml:space="preserve">Meromi Frisoergeschaefte GmbH</t>
  </si>
  <si>
    <t xml:space="preserve">Keine Website gefunden, bitte pruefen. Quelle: Websuche.</t>
  </si>
  <si>
    <t xml:space="preserve">Gaststaette Balu</t>
  </si>
  <si>
    <t xml:space="preserve">Gastronomie</t>
  </si>
  <si>
    <t xml:space="preserve">Adresse: Bahnhofstrasse 35, 91166 Georgensgmünd. Keine Website gefunden, bitte pruefen. Quelle: Websuche.</t>
  </si>
  <si>
    <t xml:space="preserve">Restaurant Buergerhaus Zur Krone</t>
  </si>
  <si>
    <t xml:space="preserve">restaurant-zur-krone.info</t>
  </si>
  <si>
    <t xml:space="preserve">Adresse: Bahnhofstrasse 1, 91166 Georgensgmünd. Website vorhanden, Qualitaet manuell pruefen. Quelle: Websuche.</t>
  </si>
  <si>
    <t xml:space="preserve">Gasthaus Zum gruenen Tal</t>
  </si>
  <si>
    <t xml:space="preserve">Ortsteil Untersteinbach, Georgensgmünd. Keine Website gefunden, bitte pruefen. Quelle: Websuche.</t>
  </si>
  <si>
    <t xml:space="preserve">Emil Kiessling</t>
  </si>
  <si>
    <t xml:space="preserve">Hersteller chemisch-pharmazeutischer/kosmetischer Produkte</t>
  </si>
  <si>
    <t xml:space="preserve">noch nicht recherchiert</t>
  </si>
  <si>
    <t xml:space="preserve">Groesserer Hersteller vor Ort, moeglicherweise schon professionelle Website, vor Anruf pruefen. Quelle: Websuche.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</si>
</sst>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3" min="3" style="1" width="70"/>
  </cols>
  <sheetData>
    <row r="1" customFormat="false" ht="19.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60" hidden="false" customHeight="true" outlineLevel="0" collapsed="false">
      <c r="A6" s="6" t="s">
        <v>6</v>
      </c>
      <c r="B6" s="6" t="s">
        <v>7</v>
      </c>
      <c r="C6" s="6" t="s">
        <v>8</v>
      </c>
    </row>
    <row r="7" customFormat="false" ht="60" hidden="false" customHeight="true" outlineLevel="0" collapsed="false">
      <c r="A7" s="6" t="s">
        <v>9</v>
      </c>
      <c r="B7" s="6" t="s">
        <v>7</v>
      </c>
      <c r="C7" s="6" t="s">
        <v>10</v>
      </c>
    </row>
    <row r="8" customFormat="false" ht="60" hidden="false" customHeight="true" outlineLevel="0" collapsed="false">
      <c r="A8" s="6" t="s">
        <v>11</v>
      </c>
      <c r="B8" s="6" t="s">
        <v>12</v>
      </c>
      <c r="C8" s="6" t="s">
        <v>13</v>
      </c>
    </row>
    <row r="9" customFormat="false" ht="60" hidden="false" customHeight="true" outlineLevel="0" collapsed="false">
      <c r="A9" s="6" t="s">
        <v>14</v>
      </c>
      <c r="B9" s="6" t="s">
        <v>12</v>
      </c>
      <c r="C9" s="6" t="s">
        <v>15</v>
      </c>
    </row>
    <row r="11" customFormat="false" ht="15" hidden="false" customHeight="true" outlineLevel="0" collapsed="false">
      <c r="A11" s="3" t="s">
        <v>16</v>
      </c>
      <c r="B11" s="3"/>
      <c r="C11" s="3"/>
    </row>
    <row r="13" customFormat="false" ht="15" hidden="false" customHeight="true" outlineLevel="0" collapsed="false">
      <c r="A13" s="4" t="s">
        <v>17</v>
      </c>
    </row>
    <row r="14" customFormat="false" ht="15" hidden="false" customHeight="true" outlineLevel="0" collapsed="false">
      <c r="A14" s="7" t="s">
        <v>18</v>
      </c>
      <c r="B14" s="7" t="s">
        <v>4</v>
      </c>
      <c r="C14" s="7" t="s">
        <v>19</v>
      </c>
    </row>
    <row r="15" customFormat="false" ht="15" hidden="false" customHeight="true" outlineLevel="0" collapsed="false">
      <c r="A15" s="8" t="s">
        <v>20</v>
      </c>
      <c r="B15" s="8" t="s">
        <v>21</v>
      </c>
      <c r="C15" s="8" t="s">
        <v>22</v>
      </c>
    </row>
    <row r="16" customFormat="false" ht="15" hidden="false" customHeight="true" outlineLevel="0" collapsed="false">
      <c r="A16" s="8" t="s">
        <v>23</v>
      </c>
      <c r="B16" s="8" t="s">
        <v>24</v>
      </c>
      <c r="C16" s="8" t="s">
        <v>25</v>
      </c>
    </row>
    <row r="17" customFormat="false" ht="15" hidden="false" customHeight="true" outlineLevel="0" collapsed="false">
      <c r="A17" s="8" t="s">
        <v>26</v>
      </c>
      <c r="B17" s="8" t="s">
        <v>27</v>
      </c>
      <c r="C17" s="8" t="s">
        <v>28</v>
      </c>
    </row>
    <row r="19" customFormat="false" ht="15" hidden="false" customHeight="true" outlineLevel="0" collapsed="false">
      <c r="A19" s="4" t="s">
        <v>29</v>
      </c>
    </row>
    <row r="20" customFormat="false" ht="15" hidden="false" customHeight="true" outlineLevel="0" collapsed="false">
      <c r="A20" s="9" t="s">
        <v>30</v>
      </c>
      <c r="B20" s="9"/>
      <c r="C20" s="9"/>
    </row>
    <row r="21" customFormat="false" ht="15" hidden="false" customHeight="true" outlineLevel="0" collapsed="false">
      <c r="A21" s="9" t="s">
        <v>31</v>
      </c>
      <c r="B21" s="9"/>
      <c r="C21" s="9"/>
    </row>
    <row r="22" customFormat="false" ht="15" hidden="false" customHeight="true" outlineLevel="0" collapsed="false">
      <c r="A22" s="9" t="s">
        <v>32</v>
      </c>
      <c r="B22" s="9"/>
      <c r="C22" s="9"/>
    </row>
    <row r="23" customFormat="false" ht="15" hidden="false" customHeight="true" outlineLevel="0" collapsed="false">
      <c r="A23" s="9" t="s">
        <v>33</v>
      </c>
      <c r="B23" s="9"/>
      <c r="C23" s="9"/>
    </row>
    <row r="24" customFormat="false" ht="15" hidden="false" customHeight="true" outlineLevel="0" collapsed="false">
      <c r="A24" s="9" t="s">
        <v>34</v>
      </c>
      <c r="B24" s="9"/>
      <c r="C24" s="9"/>
    </row>
    <row r="26" customFormat="false" ht="15" hidden="false" customHeight="true" outlineLevel="0" collapsed="false">
      <c r="A26" s="10" t="s">
        <v>35</v>
      </c>
      <c r="B26" s="10"/>
      <c r="C26" s="10"/>
    </row>
  </sheetData>
  <mergeCells count="8">
    <mergeCell ref="A2:C2"/>
    <mergeCell ref="A11:C11"/>
    <mergeCell ref="A20:C20"/>
    <mergeCell ref="A21:C21"/>
    <mergeCell ref="A22:C22"/>
    <mergeCell ref="A23:C23"/>
    <mergeCell ref="A24:C2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9" min="6" style="1" width="14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20"/>
    <col collapsed="false" customWidth="true" hidden="false" outlineLevel="0" max="14" min="14" style="1" width="30"/>
  </cols>
  <sheetData>
    <row r="1" customFormat="false" ht="31.5" hidden="false" customHeight="tru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</row>
    <row r="2" customFormat="false" ht="26.25" hidden="false" customHeight="true" outlineLevel="0" collapsed="false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11" t="n">
        <v>3</v>
      </c>
      <c r="G2" s="11" t="n">
        <v>2</v>
      </c>
      <c r="H2" s="11" t="n">
        <v>2</v>
      </c>
      <c r="I2" s="11" t="n">
        <v>1</v>
      </c>
      <c r="J2" s="12" t="n">
        <f aca="false">IF(COUNT(F2:I2)=0,"",SUM(F2:I2))</f>
        <v>8</v>
      </c>
      <c r="K2" s="13" t="str">
        <f aca="false">IF(J2="","",IF(J2&gt;=8,"A",IF(J2&gt;=5,"B","C")))</f>
        <v>A</v>
      </c>
      <c r="L2" s="8" t="s">
        <v>55</v>
      </c>
      <c r="M2" s="14"/>
      <c r="N2" s="15" t="s">
        <v>56</v>
      </c>
    </row>
    <row r="3" customFormat="false" ht="15" hidden="false" customHeight="true" outlineLevel="0" collapsed="false">
      <c r="A3" s="16" t="s">
        <v>57</v>
      </c>
      <c r="B3" s="16" t="s">
        <v>58</v>
      </c>
      <c r="C3" s="16" t="s">
        <v>59</v>
      </c>
      <c r="D3" s="16"/>
      <c r="E3" s="16" t="s">
        <v>60</v>
      </c>
      <c r="F3" s="11"/>
      <c r="G3" s="11"/>
      <c r="H3" s="11"/>
      <c r="I3" s="11"/>
      <c r="J3" s="12" t="str">
        <f aca="false">IF(COUNT(F3:I3)=0,"",SUM(F3:I3))</f>
        <v/>
      </c>
      <c r="K3" s="13" t="str">
        <f aca="false">IF(J3="","",IF(J3&gt;=8,"A",IF(J3&gt;=5,"B","C")))</f>
        <v/>
      </c>
      <c r="L3" s="16" t="s">
        <v>55</v>
      </c>
      <c r="M3" s="16"/>
      <c r="N3" s="16" t="s">
        <v>61</v>
      </c>
    </row>
    <row r="4" customFormat="false" ht="15" hidden="false" customHeight="true" outlineLevel="0" collapsed="false">
      <c r="A4" s="16" t="s">
        <v>62</v>
      </c>
      <c r="B4" s="16" t="s">
        <v>58</v>
      </c>
      <c r="C4" s="16" t="s">
        <v>59</v>
      </c>
      <c r="D4" s="16"/>
      <c r="E4" s="16" t="s">
        <v>63</v>
      </c>
      <c r="F4" s="11"/>
      <c r="G4" s="11"/>
      <c r="H4" s="11"/>
      <c r="I4" s="11"/>
      <c r="J4" s="12" t="str">
        <f aca="false">IF(COUNT(F4:I4)=0,"",SUM(F4:I4))</f>
        <v/>
      </c>
      <c r="K4" s="13" t="str">
        <f aca="false">IF(J4="","",IF(J4&gt;=8,"A",IF(J4&gt;=5,"B","C")))</f>
        <v/>
      </c>
      <c r="L4" s="16" t="s">
        <v>55</v>
      </c>
      <c r="M4" s="16"/>
      <c r="N4" s="16" t="s">
        <v>64</v>
      </c>
    </row>
    <row r="5" customFormat="false" ht="15" hidden="false" customHeight="true" outlineLevel="0" collapsed="false">
      <c r="A5" s="16" t="s">
        <v>65</v>
      </c>
      <c r="B5" s="16" t="s">
        <v>66</v>
      </c>
      <c r="C5" s="16" t="s">
        <v>67</v>
      </c>
      <c r="D5" s="16"/>
      <c r="E5" s="16"/>
      <c r="F5" s="11"/>
      <c r="G5" s="11"/>
      <c r="H5" s="11"/>
      <c r="I5" s="11"/>
      <c r="J5" s="12" t="str">
        <f aca="false">IF(COUNT(F5:I5)=0,"",SUM(F5:I5))</f>
        <v/>
      </c>
      <c r="K5" s="13" t="str">
        <f aca="false">IF(J5="","",IF(J5&gt;=8,"A",IF(J5&gt;=5,"B","C")))</f>
        <v/>
      </c>
      <c r="L5" s="16" t="s">
        <v>55</v>
      </c>
      <c r="M5" s="16"/>
      <c r="N5" s="16" t="s">
        <v>68</v>
      </c>
    </row>
    <row r="6" customFormat="false" ht="15" hidden="false" customHeight="true" outlineLevel="0" collapsed="false">
      <c r="A6" s="16" t="s">
        <v>69</v>
      </c>
      <c r="B6" s="16" t="s">
        <v>70</v>
      </c>
      <c r="C6" s="16" t="s">
        <v>71</v>
      </c>
      <c r="D6" s="16"/>
      <c r="E6" s="16"/>
      <c r="F6" s="11"/>
      <c r="G6" s="11"/>
      <c r="H6" s="11"/>
      <c r="I6" s="11"/>
      <c r="J6" s="12" t="str">
        <f aca="false">IF(COUNT(F6:I6)=0,"",SUM(F6:I6))</f>
        <v/>
      </c>
      <c r="K6" s="13" t="str">
        <f aca="false">IF(J6="","",IF(J6&gt;=8,"A",IF(J6&gt;=5,"B","C")))</f>
        <v/>
      </c>
      <c r="L6" s="16" t="s">
        <v>55</v>
      </c>
      <c r="M6" s="16"/>
      <c r="N6" s="16" t="s">
        <v>72</v>
      </c>
    </row>
    <row r="7" customFormat="false" ht="15" hidden="false" customHeight="true" outlineLevel="0" collapsed="false">
      <c r="A7" s="16" t="s">
        <v>73</v>
      </c>
      <c r="B7" s="16" t="s">
        <v>74</v>
      </c>
      <c r="C7" s="16" t="s">
        <v>75</v>
      </c>
      <c r="D7" s="16"/>
      <c r="E7" s="16" t="s">
        <v>76</v>
      </c>
      <c r="F7" s="11"/>
      <c r="G7" s="11"/>
      <c r="H7" s="11"/>
      <c r="I7" s="11"/>
      <c r="J7" s="12" t="str">
        <f aca="false">IF(COUNT(F7:I7)=0,"",SUM(F7:I7))</f>
        <v/>
      </c>
      <c r="K7" s="13" t="str">
        <f aca="false">IF(J7="","",IF(J7&gt;=8,"A",IF(J7&gt;=5,"B","C")))</f>
        <v/>
      </c>
      <c r="L7" s="16" t="s">
        <v>55</v>
      </c>
      <c r="M7" s="16"/>
      <c r="N7" s="16" t="s">
        <v>77</v>
      </c>
    </row>
    <row r="8" customFormat="false" ht="15" hidden="false" customHeight="true" outlineLevel="0" collapsed="false">
      <c r="A8" s="16" t="s">
        <v>78</v>
      </c>
      <c r="B8" s="16" t="s">
        <v>79</v>
      </c>
      <c r="C8" s="16" t="s">
        <v>80</v>
      </c>
      <c r="D8" s="16"/>
      <c r="E8" s="16"/>
      <c r="F8" s="11"/>
      <c r="G8" s="11"/>
      <c r="H8" s="11"/>
      <c r="I8" s="11"/>
      <c r="J8" s="12" t="str">
        <f aca="false">IF(COUNT(F8:I8)=0,"",SUM(F8:I8))</f>
        <v/>
      </c>
      <c r="K8" s="13" t="str">
        <f aca="false">IF(J8="","",IF(J8&gt;=8,"A",IF(J8&gt;=5,"B","C")))</f>
        <v/>
      </c>
      <c r="L8" s="16" t="s">
        <v>55</v>
      </c>
      <c r="M8" s="16"/>
      <c r="N8" s="16" t="s">
        <v>81</v>
      </c>
    </row>
    <row r="9" customFormat="false" ht="15" hidden="false" customHeight="true" outlineLevel="0" collapsed="false">
      <c r="A9" s="16" t="s">
        <v>82</v>
      </c>
      <c r="B9" s="16" t="s">
        <v>83</v>
      </c>
      <c r="C9" s="16" t="s">
        <v>59</v>
      </c>
      <c r="D9" s="16"/>
      <c r="E9" s="16"/>
      <c r="F9" s="11"/>
      <c r="G9" s="11"/>
      <c r="H9" s="11"/>
      <c r="I9" s="11"/>
      <c r="J9" s="12" t="str">
        <f aca="false">IF(COUNT(F9:I9)=0,"",SUM(F9:I9))</f>
        <v/>
      </c>
      <c r="K9" s="13" t="str">
        <f aca="false">IF(J9="","",IF(J9&gt;=8,"A",IF(J9&gt;=5,"B","C")))</f>
        <v/>
      </c>
      <c r="L9" s="16" t="s">
        <v>55</v>
      </c>
      <c r="M9" s="16"/>
      <c r="N9" s="16" t="s">
        <v>84</v>
      </c>
    </row>
    <row r="10" customFormat="false" ht="15" hidden="false" customHeight="true" outlineLevel="0" collapsed="false">
      <c r="A10" s="16" t="s">
        <v>85</v>
      </c>
      <c r="B10" s="16" t="s">
        <v>86</v>
      </c>
      <c r="C10" s="16" t="s">
        <v>87</v>
      </c>
      <c r="D10" s="16" t="s">
        <v>88</v>
      </c>
      <c r="E10" s="16"/>
      <c r="F10" s="11"/>
      <c r="G10" s="11"/>
      <c r="H10" s="11"/>
      <c r="I10" s="11"/>
      <c r="J10" s="12" t="str">
        <f aca="false">IF(COUNT(F10:I10)=0,"",SUM(F10:I10))</f>
        <v/>
      </c>
      <c r="K10" s="13" t="str">
        <f aca="false">IF(J10="","",IF(J10&gt;=8,"A",IF(J10&gt;=5,"B","C")))</f>
        <v/>
      </c>
      <c r="L10" s="16" t="s">
        <v>55</v>
      </c>
      <c r="M10" s="16"/>
      <c r="N10" s="16" t="s">
        <v>89</v>
      </c>
    </row>
    <row r="11" customFormat="false" ht="15" hidden="false" customHeight="true" outlineLevel="0" collapsed="false">
      <c r="A11" s="16" t="s">
        <v>90</v>
      </c>
      <c r="B11" s="16" t="s">
        <v>91</v>
      </c>
      <c r="C11" s="16" t="s">
        <v>59</v>
      </c>
      <c r="D11" s="16"/>
      <c r="E11" s="16"/>
      <c r="F11" s="11"/>
      <c r="G11" s="11"/>
      <c r="H11" s="11"/>
      <c r="I11" s="11"/>
      <c r="J11" s="12" t="str">
        <f aca="false">IF(COUNT(F11:I11)=0,"",SUM(F11:I11))</f>
        <v/>
      </c>
      <c r="K11" s="13" t="str">
        <f aca="false">IF(J11="","",IF(J11&gt;=8,"A",IF(J11&gt;=5,"B","C")))</f>
        <v/>
      </c>
      <c r="L11" s="16" t="s">
        <v>55</v>
      </c>
      <c r="M11" s="16"/>
      <c r="N11" s="16" t="s">
        <v>92</v>
      </c>
    </row>
    <row r="12" customFormat="false" ht="15" hidden="false" customHeight="true" outlineLevel="0" collapsed="false">
      <c r="A12" s="16" t="s">
        <v>93</v>
      </c>
      <c r="B12" s="16" t="s">
        <v>86</v>
      </c>
      <c r="C12" s="16" t="s">
        <v>59</v>
      </c>
      <c r="D12" s="16"/>
      <c r="E12" s="16"/>
      <c r="F12" s="11"/>
      <c r="G12" s="11"/>
      <c r="H12" s="11"/>
      <c r="I12" s="11"/>
      <c r="J12" s="12" t="str">
        <f aca="false">IF(COUNT(F12:I12)=0,"",SUM(F12:I12))</f>
        <v/>
      </c>
      <c r="K12" s="13" t="str">
        <f aca="false">IF(J12="","",IF(J12&gt;=8,"A",IF(J12&gt;=5,"B","C")))</f>
        <v/>
      </c>
      <c r="L12" s="16" t="s">
        <v>55</v>
      </c>
      <c r="M12" s="16"/>
      <c r="N12" s="16" t="s">
        <v>94</v>
      </c>
    </row>
    <row r="13" customFormat="false" ht="15" hidden="false" customHeight="true" outlineLevel="0" collapsed="false">
      <c r="A13" s="16" t="s">
        <v>95</v>
      </c>
      <c r="B13" s="16" t="s">
        <v>96</v>
      </c>
      <c r="C13" s="16" t="s">
        <v>97</v>
      </c>
      <c r="D13" s="16" t="s">
        <v>98</v>
      </c>
      <c r="E13" s="16" t="s">
        <v>99</v>
      </c>
      <c r="F13" s="11"/>
      <c r="G13" s="11"/>
      <c r="H13" s="11"/>
      <c r="I13" s="11"/>
      <c r="J13" s="12" t="str">
        <f aca="false">IF(COUNT(F13:I13)=0,"",SUM(F13:I13))</f>
        <v/>
      </c>
      <c r="K13" s="13" t="str">
        <f aca="false">IF(J13="","",IF(J13&gt;=8,"A",IF(J13&gt;=5,"B","C")))</f>
        <v/>
      </c>
      <c r="L13" s="16" t="s">
        <v>55</v>
      </c>
      <c r="M13" s="16"/>
      <c r="N13" s="16" t="s">
        <v>100</v>
      </c>
    </row>
    <row r="14" customFormat="false" ht="15" hidden="false" customHeight="true" outlineLevel="0" collapsed="false">
      <c r="A14" s="16" t="s">
        <v>101</v>
      </c>
      <c r="B14" s="16" t="s">
        <v>102</v>
      </c>
      <c r="C14" s="16" t="s">
        <v>103</v>
      </c>
      <c r="D14" s="16"/>
      <c r="E14" s="16" t="s">
        <v>104</v>
      </c>
      <c r="F14" s="11"/>
      <c r="G14" s="11"/>
      <c r="H14" s="11"/>
      <c r="I14" s="11"/>
      <c r="J14" s="12" t="str">
        <f aca="false">IF(COUNT(F14:I14)=0,"",SUM(F14:I14))</f>
        <v/>
      </c>
      <c r="K14" s="13" t="str">
        <f aca="false">IF(J14="","",IF(J14&gt;=8,"A",IF(J14&gt;=5,"B","C")))</f>
        <v/>
      </c>
      <c r="L14" s="16" t="s">
        <v>55</v>
      </c>
      <c r="M14" s="16"/>
      <c r="N14" s="16" t="s">
        <v>105</v>
      </c>
    </row>
    <row r="15" customFormat="false" ht="15" hidden="false" customHeight="true" outlineLevel="0" collapsed="false">
      <c r="A15" s="16" t="s">
        <v>106</v>
      </c>
      <c r="B15" s="16" t="s">
        <v>102</v>
      </c>
      <c r="C15" s="16" t="s">
        <v>59</v>
      </c>
      <c r="D15" s="16"/>
      <c r="E15" s="16" t="s">
        <v>107</v>
      </c>
      <c r="F15" s="11"/>
      <c r="G15" s="11"/>
      <c r="H15" s="11"/>
      <c r="I15" s="11"/>
      <c r="J15" s="12" t="str">
        <f aca="false">IF(COUNT(F15:I15)=0,"",SUM(F15:I15))</f>
        <v/>
      </c>
      <c r="K15" s="13" t="str">
        <f aca="false">IF(J15="","",IF(J15&gt;=8,"A",IF(J15&gt;=5,"B","C")))</f>
        <v/>
      </c>
      <c r="L15" s="16" t="s">
        <v>55</v>
      </c>
      <c r="M15" s="16"/>
      <c r="N15" s="16" t="s">
        <v>108</v>
      </c>
    </row>
    <row r="16" customFormat="false" ht="15" hidden="false" customHeight="true" outlineLevel="0" collapsed="false">
      <c r="A16" s="16" t="s">
        <v>109</v>
      </c>
      <c r="B16" s="16" t="s">
        <v>102</v>
      </c>
      <c r="C16" s="16" t="s">
        <v>59</v>
      </c>
      <c r="D16" s="16"/>
      <c r="E16" s="16"/>
      <c r="F16" s="11"/>
      <c r="G16" s="11"/>
      <c r="H16" s="11"/>
      <c r="I16" s="11"/>
      <c r="J16" s="12" t="str">
        <f aca="false">IF(COUNT(F16:I16)=0,"",SUM(F16:I16))</f>
        <v/>
      </c>
      <c r="K16" s="13" t="str">
        <f aca="false">IF(J16="","",IF(J16&gt;=8,"A",IF(J16&gt;=5,"B","C")))</f>
        <v/>
      </c>
      <c r="L16" s="16" t="s">
        <v>55</v>
      </c>
      <c r="M16" s="16"/>
      <c r="N16" s="16" t="s">
        <v>110</v>
      </c>
    </row>
    <row r="17" customFormat="false" ht="15" hidden="false" customHeight="true" outlineLevel="0" collapsed="false">
      <c r="A17" s="16" t="s">
        <v>111</v>
      </c>
      <c r="B17" s="16" t="s">
        <v>112</v>
      </c>
      <c r="C17" s="16" t="s">
        <v>113</v>
      </c>
      <c r="D17" s="16"/>
      <c r="E17" s="16"/>
      <c r="F17" s="11"/>
      <c r="G17" s="11"/>
      <c r="H17" s="11"/>
      <c r="I17" s="11"/>
      <c r="J17" s="12" t="str">
        <f aca="false">IF(COUNT(F17:I17)=0,"",SUM(F17:I17))</f>
        <v/>
      </c>
      <c r="K17" s="13" t="str">
        <f aca="false">IF(J17="","",IF(J17&gt;=8,"A",IF(J17&gt;=5,"B","C")))</f>
        <v/>
      </c>
      <c r="L17" s="16" t="s">
        <v>55</v>
      </c>
      <c r="M17" s="16"/>
      <c r="N17" s="16" t="s">
        <v>105</v>
      </c>
    </row>
    <row r="18" customFormat="false" ht="15" hidden="false" customHeight="true" outlineLevel="0" collapsed="false">
      <c r="A18" s="16" t="s">
        <v>114</v>
      </c>
      <c r="B18" s="16" t="s">
        <v>115</v>
      </c>
      <c r="C18" s="16" t="s">
        <v>116</v>
      </c>
      <c r="D18" s="16"/>
      <c r="E18" s="16"/>
      <c r="F18" s="11"/>
      <c r="G18" s="11"/>
      <c r="H18" s="11"/>
      <c r="I18" s="11"/>
      <c r="J18" s="12" t="str">
        <f aca="false">IF(COUNT(F18:I18)=0,"",SUM(F18:I18))</f>
        <v/>
      </c>
      <c r="K18" s="13" t="str">
        <f aca="false">IF(J18="","",IF(J18&gt;=8,"A",IF(J18&gt;=5,"B","C")))</f>
        <v/>
      </c>
      <c r="L18" s="16" t="s">
        <v>55</v>
      </c>
      <c r="M18" s="16"/>
      <c r="N18" s="16" t="s">
        <v>105</v>
      </c>
    </row>
    <row r="19" customFormat="false" ht="15" hidden="false" customHeight="true" outlineLevel="0" collapsed="false">
      <c r="A19" s="16" t="s">
        <v>117</v>
      </c>
      <c r="B19" s="16" t="s">
        <v>115</v>
      </c>
      <c r="C19" s="16" t="s">
        <v>59</v>
      </c>
      <c r="D19" s="16"/>
      <c r="E19" s="16"/>
      <c r="F19" s="11"/>
      <c r="G19" s="11"/>
      <c r="H19" s="11"/>
      <c r="I19" s="11"/>
      <c r="J19" s="12" t="str">
        <f aca="false">IF(COUNT(F19:I19)=0,"",SUM(F19:I19))</f>
        <v/>
      </c>
      <c r="K19" s="13" t="str">
        <f aca="false">IF(J19="","",IF(J19&gt;=8,"A",IF(J19&gt;=5,"B","C")))</f>
        <v/>
      </c>
      <c r="L19" s="16" t="s">
        <v>55</v>
      </c>
      <c r="M19" s="16"/>
      <c r="N19" s="16" t="s">
        <v>118</v>
      </c>
    </row>
    <row r="20" customFormat="false" ht="15" hidden="false" customHeight="true" outlineLevel="0" collapsed="false">
      <c r="A20" s="16" t="s">
        <v>119</v>
      </c>
      <c r="B20" s="16" t="s">
        <v>120</v>
      </c>
      <c r="C20" s="16" t="s">
        <v>59</v>
      </c>
      <c r="D20" s="16"/>
      <c r="E20" s="16"/>
      <c r="F20" s="11"/>
      <c r="G20" s="11"/>
      <c r="H20" s="11"/>
      <c r="I20" s="11"/>
      <c r="J20" s="12" t="str">
        <f aca="false">IF(COUNT(F20:I20)=0,"",SUM(F20:I20))</f>
        <v/>
      </c>
      <c r="K20" s="13" t="str">
        <f aca="false">IF(J20="","",IF(J20&gt;=8,"A",IF(J20&gt;=5,"B","C")))</f>
        <v/>
      </c>
      <c r="L20" s="16" t="s">
        <v>55</v>
      </c>
      <c r="M20" s="16"/>
      <c r="N20" s="16" t="s">
        <v>121</v>
      </c>
    </row>
    <row r="21" customFormat="false" ht="15" hidden="false" customHeight="true" outlineLevel="0" collapsed="false">
      <c r="A21" s="16" t="s">
        <v>122</v>
      </c>
      <c r="B21" s="16" t="s">
        <v>120</v>
      </c>
      <c r="C21" s="16" t="s">
        <v>123</v>
      </c>
      <c r="D21" s="16"/>
      <c r="E21" s="16"/>
      <c r="F21" s="11"/>
      <c r="G21" s="11"/>
      <c r="H21" s="11"/>
      <c r="I21" s="11"/>
      <c r="J21" s="12" t="str">
        <f aca="false">IF(COUNT(F21:I21)=0,"",SUM(F21:I21))</f>
        <v/>
      </c>
      <c r="K21" s="13" t="str">
        <f aca="false">IF(J21="","",IF(J21&gt;=8,"A",IF(J21&gt;=5,"B","C")))</f>
        <v/>
      </c>
      <c r="L21" s="16" t="s">
        <v>55</v>
      </c>
      <c r="M21" s="16"/>
      <c r="N21" s="16" t="s">
        <v>124</v>
      </c>
    </row>
    <row r="22" customFormat="false" ht="15" hidden="false" customHeight="true" outlineLevel="0" collapsed="false">
      <c r="A22" s="16" t="s">
        <v>125</v>
      </c>
      <c r="B22" s="16" t="s">
        <v>120</v>
      </c>
      <c r="C22" s="16" t="s">
        <v>59</v>
      </c>
      <c r="D22" s="16"/>
      <c r="E22" s="16"/>
      <c r="F22" s="11"/>
      <c r="G22" s="11"/>
      <c r="H22" s="11"/>
      <c r="I22" s="11"/>
      <c r="J22" s="12" t="str">
        <f aca="false">IF(COUNT(F22:I22)=0,"",SUM(F22:I22))</f>
        <v/>
      </c>
      <c r="K22" s="13" t="str">
        <f aca="false">IF(J22="","",IF(J22&gt;=8,"A",IF(J22&gt;=5,"B","C")))</f>
        <v/>
      </c>
      <c r="L22" s="16" t="s">
        <v>55</v>
      </c>
      <c r="M22" s="16"/>
      <c r="N22" s="16" t="s">
        <v>126</v>
      </c>
    </row>
    <row r="23" customFormat="false" ht="15" hidden="false" customHeight="true" outlineLevel="0" collapsed="false">
      <c r="A23" s="16" t="s">
        <v>127</v>
      </c>
      <c r="B23" s="16" t="s">
        <v>128</v>
      </c>
      <c r="C23" s="16" t="s">
        <v>129</v>
      </c>
      <c r="D23" s="16"/>
      <c r="E23" s="16"/>
      <c r="F23" s="11"/>
      <c r="G23" s="11"/>
      <c r="H23" s="11"/>
      <c r="I23" s="11"/>
      <c r="J23" s="12" t="str">
        <f aca="false">IF(COUNT(F23:I23)=0,"",SUM(F23:I23))</f>
        <v/>
      </c>
      <c r="K23" s="13" t="str">
        <f aca="false">IF(J23="","",IF(J23&gt;=8,"A",IF(J23&gt;=5,"B","C")))</f>
        <v/>
      </c>
      <c r="L23" s="16" t="s">
        <v>55</v>
      </c>
      <c r="M23" s="16"/>
      <c r="N23" s="16" t="s">
        <v>130</v>
      </c>
    </row>
    <row r="24" customFormat="false" ht="15" hidden="false" customHeight="true" outlineLevel="0" collapsed="false">
      <c r="A24" s="16"/>
      <c r="B24" s="16"/>
      <c r="C24" s="16"/>
      <c r="D24" s="16"/>
      <c r="E24" s="16"/>
      <c r="F24" s="11"/>
      <c r="G24" s="11"/>
      <c r="H24" s="11"/>
      <c r="I24" s="11"/>
      <c r="J24" s="12" t="str">
        <f aca="false">IF(COUNT(F24:I24)=0,"",SUM(F24:I24))</f>
        <v/>
      </c>
      <c r="K24" s="13" t="str">
        <f aca="false">IF(J24="","",IF(J24&gt;=8,"A",IF(J24&gt;=5,"B","C")))</f>
        <v/>
      </c>
      <c r="L24" s="16"/>
      <c r="M24" s="16"/>
      <c r="N24" s="16"/>
    </row>
    <row r="25" customFormat="false" ht="15" hidden="false" customHeight="true" outlineLevel="0" collapsed="false">
      <c r="A25" s="16"/>
      <c r="B25" s="16"/>
      <c r="C25" s="16"/>
      <c r="D25" s="16"/>
      <c r="E25" s="16"/>
      <c r="F25" s="11"/>
      <c r="G25" s="11"/>
      <c r="H25" s="11"/>
      <c r="I25" s="11"/>
      <c r="J25" s="12" t="str">
        <f aca="false">IF(COUNT(F25:I25)=0,"",SUM(F25:I25))</f>
        <v/>
      </c>
      <c r="K25" s="13" t="str">
        <f aca="false">IF(J25="","",IF(J25&gt;=8,"A",IF(J25&gt;=5,"B","C")))</f>
        <v/>
      </c>
      <c r="L25" s="16"/>
      <c r="M25" s="16"/>
      <c r="N25" s="16"/>
    </row>
    <row r="26" customFormat="false" ht="15" hidden="false" customHeight="true" outlineLevel="0" collapsed="false">
      <c r="A26" s="16"/>
      <c r="B26" s="16"/>
      <c r="C26" s="16"/>
      <c r="D26" s="16"/>
      <c r="E26" s="16"/>
      <c r="F26" s="11"/>
      <c r="G26" s="11"/>
      <c r="H26" s="11"/>
      <c r="I26" s="11"/>
      <c r="J26" s="12" t="str">
        <f aca="false">IF(COUNT(F26:I26)=0,"",SUM(F26:I26))</f>
        <v/>
      </c>
      <c r="K26" s="13" t="str">
        <f aca="false">IF(J26="","",IF(J26&gt;=8,"A",IF(J26&gt;=5,"B","C")))</f>
        <v/>
      </c>
      <c r="L26" s="16"/>
      <c r="M26" s="16"/>
      <c r="N26" s="16"/>
    </row>
    <row r="27" customFormat="false" ht="15" hidden="false" customHeight="true" outlineLevel="0" collapsed="false">
      <c r="A27" s="16"/>
      <c r="B27" s="16"/>
      <c r="C27" s="16"/>
      <c r="D27" s="16"/>
      <c r="E27" s="16"/>
      <c r="F27" s="11"/>
      <c r="G27" s="11"/>
      <c r="H27" s="11"/>
      <c r="I27" s="11"/>
      <c r="J27" s="12" t="str">
        <f aca="false">IF(COUNT(F27:I27)=0,"",SUM(F27:I27))</f>
        <v/>
      </c>
      <c r="K27" s="13" t="str">
        <f aca="false">IF(J27="","",IF(J27&gt;=8,"A",IF(J27&gt;=5,"B","C")))</f>
        <v/>
      </c>
      <c r="L27" s="16"/>
      <c r="M27" s="16"/>
      <c r="N27" s="16"/>
    </row>
    <row r="28" customFormat="false" ht="15" hidden="false" customHeight="true" outlineLevel="0" collapsed="false">
      <c r="A28" s="16"/>
      <c r="B28" s="16"/>
      <c r="C28" s="16"/>
      <c r="D28" s="16"/>
      <c r="E28" s="16"/>
      <c r="F28" s="11"/>
      <c r="G28" s="11"/>
      <c r="H28" s="11"/>
      <c r="I28" s="11"/>
      <c r="J28" s="12" t="str">
        <f aca="false">IF(COUNT(F28:I28)=0,"",SUM(F28:I28))</f>
        <v/>
      </c>
      <c r="K28" s="13" t="str">
        <f aca="false">IF(J28="","",IF(J28&gt;=8,"A",IF(J28&gt;=5,"B","C")))</f>
        <v/>
      </c>
      <c r="L28" s="16"/>
      <c r="M28" s="16"/>
      <c r="N28" s="16"/>
    </row>
    <row r="29" customFormat="false" ht="15" hidden="false" customHeight="true" outlineLevel="0" collapsed="false">
      <c r="A29" s="16"/>
      <c r="B29" s="16"/>
      <c r="C29" s="16"/>
      <c r="D29" s="16"/>
      <c r="E29" s="16"/>
      <c r="F29" s="11"/>
      <c r="G29" s="11"/>
      <c r="H29" s="11"/>
      <c r="I29" s="11"/>
      <c r="J29" s="12" t="str">
        <f aca="false">IF(COUNT(F29:I29)=0,"",SUM(F29:I29))</f>
        <v/>
      </c>
      <c r="K29" s="13" t="str">
        <f aca="false">IF(J29="","",IF(J29&gt;=8,"A",IF(J29&gt;=5,"B","C")))</f>
        <v/>
      </c>
      <c r="L29" s="16"/>
      <c r="M29" s="16"/>
      <c r="N29" s="16"/>
    </row>
    <row r="30" customFormat="false" ht="15" hidden="false" customHeight="true" outlineLevel="0" collapsed="false">
      <c r="A30" s="16"/>
      <c r="B30" s="16"/>
      <c r="C30" s="16"/>
      <c r="D30" s="16"/>
      <c r="E30" s="16"/>
      <c r="F30" s="11"/>
      <c r="G30" s="11"/>
      <c r="H30" s="11"/>
      <c r="I30" s="11"/>
      <c r="J30" s="12" t="str">
        <f aca="false">IF(COUNT(F30:I30)=0,"",SUM(F30:I30))</f>
        <v/>
      </c>
      <c r="K30" s="13" t="str">
        <f aca="false">IF(J30="","",IF(J30&gt;=8,"A",IF(J30&gt;=5,"B","C")))</f>
        <v/>
      </c>
      <c r="L30" s="16"/>
      <c r="M30" s="16"/>
      <c r="N30" s="16"/>
    </row>
    <row r="31" customFormat="false" ht="15" hidden="false" customHeight="true" outlineLevel="0" collapsed="false">
      <c r="A31" s="16"/>
      <c r="B31" s="16"/>
      <c r="C31" s="16"/>
      <c r="D31" s="16"/>
      <c r="E31" s="16"/>
      <c r="F31" s="11"/>
      <c r="G31" s="11"/>
      <c r="H31" s="11"/>
      <c r="I31" s="11"/>
      <c r="J31" s="12" t="str">
        <f aca="false">IF(COUNT(F31:I31)=0,"",SUM(F31:I31))</f>
        <v/>
      </c>
      <c r="K31" s="13" t="str">
        <f aca="false">IF(J31="","",IF(J31&gt;=8,"A",IF(J31&gt;=5,"B","C")))</f>
        <v/>
      </c>
      <c r="L31" s="16"/>
      <c r="M31" s="16"/>
      <c r="N31" s="16"/>
    </row>
    <row r="32" customFormat="false" ht="15" hidden="false" customHeight="true" outlineLevel="0" collapsed="false">
      <c r="A32" s="16"/>
      <c r="B32" s="16"/>
      <c r="C32" s="16"/>
      <c r="D32" s="16"/>
      <c r="E32" s="16"/>
      <c r="F32" s="11"/>
      <c r="G32" s="11"/>
      <c r="H32" s="11"/>
      <c r="I32" s="11"/>
      <c r="J32" s="12" t="str">
        <f aca="false">IF(COUNT(F32:I32)=0,"",SUM(F32:I32))</f>
        <v/>
      </c>
      <c r="K32" s="13" t="str">
        <f aca="false">IF(J32="","",IF(J32&gt;=8,"A",IF(J32&gt;=5,"B","C")))</f>
        <v/>
      </c>
      <c r="L32" s="16"/>
      <c r="M32" s="16"/>
      <c r="N32" s="16"/>
    </row>
    <row r="33" customFormat="false" ht="15" hidden="false" customHeight="true" outlineLevel="0" collapsed="false">
      <c r="A33" s="16"/>
      <c r="B33" s="16"/>
      <c r="C33" s="16"/>
      <c r="D33" s="16"/>
      <c r="E33" s="16"/>
      <c r="F33" s="11"/>
      <c r="G33" s="11"/>
      <c r="H33" s="11"/>
      <c r="I33" s="11"/>
      <c r="J33" s="12" t="str">
        <f aca="false">IF(COUNT(F33:I33)=0,"",SUM(F33:I33))</f>
        <v/>
      </c>
      <c r="K33" s="13" t="str">
        <f aca="false">IF(J33="","",IF(J33&gt;=8,"A",IF(J33&gt;=5,"B","C")))</f>
        <v/>
      </c>
      <c r="L33" s="16"/>
      <c r="M33" s="16"/>
      <c r="N33" s="16"/>
    </row>
    <row r="34" customFormat="false" ht="15" hidden="false" customHeight="true" outlineLevel="0" collapsed="false">
      <c r="A34" s="16"/>
      <c r="B34" s="16"/>
      <c r="C34" s="16"/>
      <c r="D34" s="16"/>
      <c r="E34" s="16"/>
      <c r="F34" s="11"/>
      <c r="G34" s="11"/>
      <c r="H34" s="11"/>
      <c r="I34" s="11"/>
      <c r="J34" s="12" t="str">
        <f aca="false">IF(COUNT(F34:I34)=0,"",SUM(F34:I34))</f>
        <v/>
      </c>
      <c r="K34" s="13" t="str">
        <f aca="false">IF(J34="","",IF(J34&gt;=8,"A",IF(J34&gt;=5,"B","C")))</f>
        <v/>
      </c>
      <c r="L34" s="16"/>
      <c r="M34" s="16"/>
      <c r="N34" s="16"/>
    </row>
    <row r="35" customFormat="false" ht="15" hidden="false" customHeight="true" outlineLevel="0" collapsed="false">
      <c r="A35" s="16"/>
      <c r="B35" s="16"/>
      <c r="C35" s="16"/>
      <c r="D35" s="16"/>
      <c r="E35" s="16"/>
      <c r="F35" s="11"/>
      <c r="G35" s="11"/>
      <c r="H35" s="11"/>
      <c r="I35" s="11"/>
      <c r="J35" s="12" t="str">
        <f aca="false">IF(COUNT(F35:I35)=0,"",SUM(F35:I35))</f>
        <v/>
      </c>
      <c r="K35" s="13" t="str">
        <f aca="false">IF(J35="","",IF(J35&gt;=8,"A",IF(J35&gt;=5,"B","C")))</f>
        <v/>
      </c>
      <c r="L35" s="16"/>
      <c r="M35" s="16"/>
      <c r="N35" s="16"/>
    </row>
    <row r="36" customFormat="false" ht="15" hidden="false" customHeight="true" outlineLevel="0" collapsed="false">
      <c r="A36" s="16"/>
      <c r="B36" s="16"/>
      <c r="C36" s="16"/>
      <c r="D36" s="16"/>
      <c r="E36" s="16"/>
      <c r="F36" s="11"/>
      <c r="G36" s="11"/>
      <c r="H36" s="11"/>
      <c r="I36" s="11"/>
      <c r="J36" s="12" t="str">
        <f aca="false">IF(COUNT(F36:I36)=0,"",SUM(F36:I36))</f>
        <v/>
      </c>
      <c r="K36" s="13" t="str">
        <f aca="false">IF(J36="","",IF(J36&gt;=8,"A",IF(J36&gt;=5,"B","C")))</f>
        <v/>
      </c>
      <c r="L36" s="16"/>
      <c r="M36" s="16"/>
      <c r="N36" s="16"/>
    </row>
    <row r="37" customFormat="false" ht="15" hidden="false" customHeight="true" outlineLevel="0" collapsed="false">
      <c r="A37" s="16"/>
      <c r="B37" s="16"/>
      <c r="C37" s="16"/>
      <c r="D37" s="16"/>
      <c r="E37" s="16"/>
      <c r="F37" s="11"/>
      <c r="G37" s="11"/>
      <c r="H37" s="11"/>
      <c r="I37" s="11"/>
      <c r="J37" s="12" t="str">
        <f aca="false">IF(COUNT(F37:I37)=0,"",SUM(F37:I37))</f>
        <v/>
      </c>
      <c r="K37" s="13" t="str">
        <f aca="false">IF(J37="","",IF(J37&gt;=8,"A",IF(J37&gt;=5,"B","C")))</f>
        <v/>
      </c>
      <c r="L37" s="16"/>
      <c r="M37" s="16"/>
      <c r="N37" s="16"/>
    </row>
    <row r="38" customFormat="false" ht="15" hidden="false" customHeight="true" outlineLevel="0" collapsed="false">
      <c r="A38" s="16"/>
      <c r="B38" s="16"/>
      <c r="C38" s="16"/>
      <c r="D38" s="16"/>
      <c r="E38" s="16"/>
      <c r="F38" s="11"/>
      <c r="G38" s="11"/>
      <c r="H38" s="11"/>
      <c r="I38" s="11"/>
      <c r="J38" s="12" t="str">
        <f aca="false">IF(COUNT(F38:I38)=0,"",SUM(F38:I38))</f>
        <v/>
      </c>
      <c r="K38" s="13" t="str">
        <f aca="false">IF(J38="","",IF(J38&gt;=8,"A",IF(J38&gt;=5,"B","C")))</f>
        <v/>
      </c>
      <c r="L38" s="16"/>
      <c r="M38" s="16"/>
      <c r="N38" s="16"/>
    </row>
    <row r="39" customFormat="false" ht="15" hidden="false" customHeight="true" outlineLevel="0" collapsed="false">
      <c r="A39" s="16"/>
      <c r="B39" s="16"/>
      <c r="C39" s="16"/>
      <c r="D39" s="16"/>
      <c r="E39" s="16"/>
      <c r="F39" s="11"/>
      <c r="G39" s="11"/>
      <c r="H39" s="11"/>
      <c r="I39" s="11"/>
      <c r="J39" s="12" t="str">
        <f aca="false">IF(COUNT(F39:I39)=0,"",SUM(F39:I39))</f>
        <v/>
      </c>
      <c r="K39" s="13" t="str">
        <f aca="false">IF(J39="","",IF(J39&gt;=8,"A",IF(J39&gt;=5,"B","C")))</f>
        <v/>
      </c>
      <c r="L39" s="16"/>
      <c r="M39" s="16"/>
      <c r="N39" s="16"/>
    </row>
    <row r="40" customFormat="false" ht="15" hidden="false" customHeight="true" outlineLevel="0" collapsed="false">
      <c r="A40" s="16"/>
      <c r="B40" s="16"/>
      <c r="C40" s="16"/>
      <c r="D40" s="16"/>
      <c r="E40" s="16"/>
      <c r="F40" s="11"/>
      <c r="G40" s="11"/>
      <c r="H40" s="11"/>
      <c r="I40" s="11"/>
      <c r="J40" s="12" t="str">
        <f aca="false">IF(COUNT(F40:I40)=0,"",SUM(F40:I40))</f>
        <v/>
      </c>
      <c r="K40" s="13" t="str">
        <f aca="false">IF(J40="","",IF(J40&gt;=8,"A",IF(J40&gt;=5,"B","C")))</f>
        <v/>
      </c>
      <c r="L40" s="16"/>
      <c r="M40" s="16"/>
      <c r="N40" s="16"/>
    </row>
    <row r="41" customFormat="false" ht="15" hidden="false" customHeight="true" outlineLevel="0" collapsed="false">
      <c r="A41" s="16"/>
      <c r="B41" s="16"/>
      <c r="C41" s="16"/>
      <c r="D41" s="16"/>
      <c r="E41" s="16"/>
      <c r="F41" s="11"/>
      <c r="G41" s="11"/>
      <c r="H41" s="11"/>
      <c r="I41" s="11"/>
      <c r="J41" s="12" t="str">
        <f aca="false">IF(COUNT(F41:I41)=0,"",SUM(F41:I41))</f>
        <v/>
      </c>
      <c r="K41" s="13" t="str">
        <f aca="false">IF(J41="","",IF(J41&gt;=8,"A",IF(J41&gt;=5,"B","C")))</f>
        <v/>
      </c>
      <c r="L41" s="16"/>
      <c r="M41" s="16"/>
      <c r="N41" s="16"/>
    </row>
  </sheetData>
  <conditionalFormatting sqref="K2:K41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dataValidations count="3">
    <dataValidation allowBlank="true" errorStyle="stop" operator="between" showDropDown="false" showErrorMessage="false" showInputMessage="false" sqref="F3:G41" type="list">
      <formula1>"0,1,2,3"</formula1>
      <formula2>0</formula2>
    </dataValidation>
    <dataValidation allowBlank="true" errorStyle="stop" operator="between" showDropDown="false" showErrorMessage="false" showInputMessage="false" sqref="H3:I41" type="list">
      <formula1>"0,1,2"</formula1>
      <formula2>0</formula2>
    </dataValidation>
    <dataValidation allowBlank="true" errorStyle="stop" operator="between" showDropDown="false" showErrorMessage="false" showInputMessage="false" sqref="L2:L41" type="list">
      <formula1>"Nicht kontaktiert,Call 1 vereinbart,Call 2 vereinbart,Call 3 vereinbart,Gewonnen,Verloren"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2026-08-11T17:44:26Z</dcterms:created>
  <dc:creator>openpyxl</dc:creator>
  <dc:description/>
  <dc:language>en-US</dc:language>
  <cp:lastModifiedBy/>
  <dcterms:modified xsi:type="dcterms:W3CDTF">2026-08-11T18:10:07Z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